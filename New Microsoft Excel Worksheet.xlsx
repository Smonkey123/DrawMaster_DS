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NXIGAO13\Desktop\DrawMaster_DS\"/>
    </mc:Choice>
  </mc:AlternateContent>
  <xr:revisionPtr revIDLastSave="0" documentId="13_ncr:1_{12E6AA4E-F68D-4934-A392-86BC524F1607}" xr6:coauthVersionLast="47" xr6:coauthVersionMax="47" xr10:uidLastSave="{00000000-0000-0000-0000-000000000000}"/>
  <bookViews>
    <workbookView xWindow="1950" yWindow="0" windowWidth="21600" windowHeight="17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C18" i="1"/>
  <c r="B18" i="1"/>
  <c r="B19" i="1"/>
  <c r="C3" i="1"/>
  <c r="C4" i="1"/>
  <c r="C5" i="1"/>
  <c r="C6" i="1"/>
  <c r="C7" i="1"/>
  <c r="C8" i="1"/>
  <c r="C9" i="1"/>
  <c r="C10" i="1"/>
  <c r="C11" i="1"/>
  <c r="C13" i="1"/>
  <c r="C14" i="1"/>
  <c r="C15" i="1"/>
  <c r="C16" i="1"/>
  <c r="C17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B3" i="1"/>
  <c r="B4" i="1"/>
  <c r="B5" i="1"/>
  <c r="B6" i="1"/>
  <c r="B7" i="1"/>
  <c r="B8" i="1"/>
  <c r="B9" i="1"/>
  <c r="B10" i="1"/>
  <c r="B11" i="1"/>
  <c r="B13" i="1"/>
  <c r="B14" i="1"/>
  <c r="B15" i="1"/>
  <c r="B16" i="1"/>
  <c r="B17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C2" i="1"/>
  <c r="B2" i="1"/>
</calcChain>
</file>

<file path=xl/sharedStrings.xml><?xml version="1.0" encoding="utf-8"?>
<sst xmlns="http://schemas.openxmlformats.org/spreadsheetml/2006/main" count="204" uniqueCount="203">
  <si>
    <t>1-1 标准</t>
  </si>
  <si>
    <t>1-2-1 系统电压</t>
  </si>
  <si>
    <t>1-2-2 频率</t>
  </si>
  <si>
    <t>1-3 额定电压</t>
  </si>
  <si>
    <t>1-4 工频耐压</t>
  </si>
  <si>
    <t>1-5 雷电冲击耐压</t>
  </si>
  <si>
    <t>1-7 主母线类型</t>
  </si>
  <si>
    <t>1-8-1 额定短时耐受电流</t>
  </si>
  <si>
    <t>1-8-2 额定短时耐受时间</t>
  </si>
  <si>
    <t>1-9 额定峰值耐受电流</t>
  </si>
  <si>
    <t>1-10-2 内燃弧耐受时间</t>
  </si>
  <si>
    <t>1-11-1 柜型</t>
  </si>
  <si>
    <t>1-11-2 柜型产品</t>
  </si>
  <si>
    <t>1-12 壳体防护等级</t>
  </si>
  <si>
    <t>1-13 隔室间防护等级</t>
  </si>
  <si>
    <t>1-14 相序标识</t>
  </si>
  <si>
    <t xml:space="preserve">1-15-1 相序颜色 </t>
  </si>
  <si>
    <t>1-16 表面喷漆</t>
  </si>
  <si>
    <t>1-17 接地铜排</t>
  </si>
  <si>
    <t>1-18-1 一次电缆进线方向</t>
  </si>
  <si>
    <t xml:space="preserve">1-18-2 一次电缆进线形式 </t>
  </si>
  <si>
    <t xml:space="preserve">1-19-1 二次电缆进线方向 </t>
  </si>
  <si>
    <t>1-19-2 二次电缆进线形式</t>
  </si>
  <si>
    <t>2-1 柜体及低压箱设备铭牌语言</t>
  </si>
  <si>
    <t>2-2 柜体及低压箱设备铭牌颜色</t>
  </si>
  <si>
    <t xml:space="preserve">2-3 铭牌材质 </t>
  </si>
  <si>
    <t>2-4 柜外铭牌安装方式</t>
  </si>
  <si>
    <t xml:space="preserve">2-6 铭牌柜内安装方式 </t>
  </si>
  <si>
    <t xml:space="preserve">2-7 柜体标准标签语言 </t>
  </si>
  <si>
    <t xml:space="preserve">3-1 控制与信号回路 电压等级 1 </t>
  </si>
  <si>
    <t xml:space="preserve">3-2 控制与信号回路 电压等级 2 </t>
  </si>
  <si>
    <t xml:space="preserve">3-3 断路器储能回路电源 </t>
  </si>
  <si>
    <t>3-4 加热&amp;照明回路 电压等级3</t>
  </si>
  <si>
    <t xml:space="preserve">4-1-1 电源回路 电压等级1-线径 </t>
  </si>
  <si>
    <t>4-1-2 电源回路 电压等级1-线色Ve+/ L</t>
  </si>
  <si>
    <t>4-1-3 电源回路 电压等级1-线色Ve-/ N</t>
  </si>
  <si>
    <t xml:space="preserve">4-2-1 控制与其他回路 电压等级1-线径 </t>
  </si>
  <si>
    <t>4-2-2 控制与其他回路 电压等级1-线色Ve+/ L</t>
  </si>
  <si>
    <t>4-2-3 控制与其他回路 电压等级1-线色Ve-/ N</t>
  </si>
  <si>
    <t xml:space="preserve">4-3-1 电源回路 电压等级2-线径 </t>
  </si>
  <si>
    <t>4-3-2 电源回路 电压等级2-线色Ve+/ L</t>
  </si>
  <si>
    <t>4-3-3 电源回路 电压等级2-线色Ve-/ N</t>
  </si>
  <si>
    <t xml:space="preserve">4-4-1 控制与其他回路 电压等级2-线径 </t>
  </si>
  <si>
    <t>4-4-2 控制与其他回路 电压等级2-线色Ve+/ L</t>
  </si>
  <si>
    <t>4-4-3 控制与其他回路 电压等级2-线色Ve-/ N</t>
  </si>
  <si>
    <t xml:space="preserve">4-5-1 电源回路 电压等级3-线径 </t>
  </si>
  <si>
    <t>4-5-2 电源回路 电压等级3-线色Ve+/ L</t>
  </si>
  <si>
    <t>4-5-3 电源回路 电压等级3-线色Ve-/ N</t>
  </si>
  <si>
    <t xml:space="preserve">4-6-1 控制与其他回路 电压等级3-线径 </t>
  </si>
  <si>
    <t>4-6-2 控制与其他回路 电压等级3-线色Ve+/ L</t>
  </si>
  <si>
    <t>4-6-3 控制与其他回路 电压等级3-线色Ve-/ N</t>
  </si>
  <si>
    <t>4-7-1 电流回路线径</t>
  </si>
  <si>
    <t>4-7-2 电流回路线色</t>
  </si>
  <si>
    <t>4-8-1 电压回路线径</t>
  </si>
  <si>
    <t>4-8-2 电压回路线色</t>
  </si>
  <si>
    <t>4-9-1 二次回路接地线线径</t>
  </si>
  <si>
    <t>4-9-2 二次回路接地线线色</t>
  </si>
  <si>
    <t>4-10-1 零序电流回路线径</t>
  </si>
  <si>
    <t>4-10-2 零序电流回路线色</t>
  </si>
  <si>
    <t>4-11 二次导线材料</t>
  </si>
  <si>
    <t>4-12 二次导线电压等级</t>
  </si>
  <si>
    <t>4-13 二次导线温度</t>
  </si>
  <si>
    <t>5-2-1 端子品牌</t>
  </si>
  <si>
    <t>5-3 模拟纸</t>
  </si>
  <si>
    <t xml:space="preserve">5-4-1 零序CT 安装位置 </t>
  </si>
  <si>
    <t xml:space="preserve">5-4-2 零序CT 安装位置-特殊柜子 </t>
  </si>
  <si>
    <t xml:space="preserve">5-5 柜间线 </t>
  </si>
  <si>
    <t xml:space="preserve">5-6-1 号码管颜色 </t>
  </si>
  <si>
    <t>5-6-2 线号类型</t>
  </si>
  <si>
    <t>5-7 区域通用要求</t>
  </si>
  <si>
    <t>6-1-1 局放试验</t>
  </si>
  <si>
    <t>6-2 FAT要求</t>
  </si>
  <si>
    <t>7-1 包装和发运</t>
  </si>
  <si>
    <t>1-10-1 内燃弧耐受电流</t>
    <phoneticPr fontId="2" type="noConversion"/>
  </si>
  <si>
    <t>STANDARD</t>
    <phoneticPr fontId="2" type="noConversion"/>
  </si>
  <si>
    <t>SYSTEM</t>
    <phoneticPr fontId="2" type="noConversion"/>
  </si>
  <si>
    <t>RATED VOLTAGE</t>
    <phoneticPr fontId="2" type="noConversion"/>
  </si>
  <si>
    <t>POWER-FREQUENCY WITHSTAND VOLTAGE</t>
    <phoneticPr fontId="2" type="noConversion"/>
  </si>
  <si>
    <t>LIGHTNING IMPULSE WITHSTAND VOLTAGE</t>
    <phoneticPr fontId="2" type="noConversion"/>
  </si>
  <si>
    <t>MAIN BUSBAR TYPE</t>
    <phoneticPr fontId="2" type="noConversion"/>
  </si>
  <si>
    <t>RATED SHORT TIME WITHSTAND CURRENT</t>
    <phoneticPr fontId="2" type="noConversion"/>
  </si>
  <si>
    <t>RATED PEAK WITHSTAND CURRENT</t>
    <phoneticPr fontId="2" type="noConversion"/>
  </si>
  <si>
    <t>INTERNAL ARC CLASSIFICATION</t>
    <phoneticPr fontId="2" type="noConversion"/>
  </si>
  <si>
    <t>TYPE</t>
    <phoneticPr fontId="2" type="noConversion"/>
  </si>
  <si>
    <t>DEGREE OF PROTECTION FOR THE ENCLOSURE</t>
    <phoneticPr fontId="2" type="noConversion"/>
  </si>
  <si>
    <r>
      <t xml:space="preserve">1-13 </t>
    </r>
    <r>
      <rPr>
        <sz val="10"/>
        <rFont val="ABBvoice CNSG Light"/>
        <family val="2"/>
        <charset val="134"/>
      </rPr>
      <t>低压箱防护等级</t>
    </r>
    <phoneticPr fontId="3" type="noConversion"/>
  </si>
  <si>
    <t>1-12 气箱防护等级</t>
    <phoneticPr fontId="2" type="noConversion"/>
  </si>
  <si>
    <t>DEGREE OF PROTECTION FOR GAS FILLED COMPARTMENTS</t>
    <phoneticPr fontId="2" type="noConversion"/>
  </si>
  <si>
    <t>DEGREE OF PROTECTION OF LOW VOLTAGE COMPARTMENTS</t>
    <phoneticPr fontId="2" type="noConversion"/>
  </si>
  <si>
    <t>DEGREE OF PROTECTION FOR THE PARTITION BETWEEN COMPT.</t>
    <phoneticPr fontId="2" type="noConversion"/>
  </si>
  <si>
    <t>PHASE SEQUENCE</t>
    <phoneticPr fontId="2" type="noConversion"/>
  </si>
  <si>
    <t>PHASE SEQUENCE COLOR</t>
    <phoneticPr fontId="2" type="noConversion"/>
  </si>
  <si>
    <t>PAINT FINISH</t>
    <phoneticPr fontId="2" type="noConversion"/>
  </si>
  <si>
    <t>EARTH BAR</t>
    <phoneticPr fontId="2" type="noConversion"/>
  </si>
  <si>
    <t>POWER CABLE ENTRY</t>
    <phoneticPr fontId="2" type="noConversion"/>
  </si>
  <si>
    <t>CONTROL CABLE ENTRY</t>
    <phoneticPr fontId="2" type="noConversion"/>
  </si>
  <si>
    <t>UNIT &amp; DEVICES IN LV COMP. LABELS LANGUAGE</t>
    <phoneticPr fontId="2" type="noConversion"/>
  </si>
  <si>
    <t>UNIT &amp; DEVICES IN LV COMP. LABELS COLOR</t>
    <phoneticPr fontId="2" type="noConversion"/>
  </si>
  <si>
    <t>UNIT &amp; DEVICES IN LV COMP. LABELS MATERIALS</t>
    <phoneticPr fontId="2" type="noConversion"/>
  </si>
  <si>
    <t>报表</t>
    <phoneticPr fontId="2" type="noConversion"/>
  </si>
  <si>
    <t>标准</t>
    <phoneticPr fontId="2" type="noConversion"/>
  </si>
  <si>
    <t>模拟纸</t>
  </si>
  <si>
    <t>局放试验</t>
  </si>
  <si>
    <t>包装和发运</t>
  </si>
  <si>
    <t>系统</t>
    <phoneticPr fontId="2" type="noConversion"/>
  </si>
  <si>
    <t>额定电压</t>
    <phoneticPr fontId="2" type="noConversion"/>
  </si>
  <si>
    <t xml:space="preserve">零序CT 安装位置 </t>
  </si>
  <si>
    <t xml:space="preserve">柜间线 </t>
  </si>
  <si>
    <t>内部燃弧等级</t>
    <phoneticPr fontId="2" type="noConversion"/>
  </si>
  <si>
    <t>相序</t>
    <phoneticPr fontId="2" type="noConversion"/>
  </si>
  <si>
    <t>一次电缆进线</t>
    <phoneticPr fontId="2" type="noConversion"/>
  </si>
  <si>
    <t>二次电缆进线</t>
    <phoneticPr fontId="2" type="noConversion"/>
  </si>
  <si>
    <t>柜体及低压箱设备铭牌语言</t>
    <phoneticPr fontId="2" type="noConversion"/>
  </si>
  <si>
    <t>UNIT NAMEPLATES FIXING</t>
    <phoneticPr fontId="2" type="noConversion"/>
  </si>
  <si>
    <t>柜体铭牌安装方式</t>
    <phoneticPr fontId="2" type="noConversion"/>
  </si>
  <si>
    <t>DEVICES ON LV DOORS LABELS FIXING</t>
    <phoneticPr fontId="2" type="noConversion"/>
  </si>
  <si>
    <t>DEVICES INSIDE LV COMP. LABELS FIXING</t>
    <phoneticPr fontId="2" type="noConversion"/>
  </si>
  <si>
    <t>UNIT RATED NAMEPLATE &amp; INSTRUCTION LABELS LANGUAGE</t>
  </si>
  <si>
    <t>控制与信号回路 电压等级1</t>
    <phoneticPr fontId="2" type="noConversion"/>
  </si>
  <si>
    <t>控制与信号回路 电压等级2</t>
    <phoneticPr fontId="2" type="noConversion"/>
  </si>
  <si>
    <t>柜体参数铭牌及其他标签语言</t>
    <phoneticPr fontId="2" type="noConversion"/>
  </si>
  <si>
    <t>低压室内部设备铭牌安装方式</t>
    <phoneticPr fontId="2" type="noConversion"/>
  </si>
  <si>
    <t>低压室门板设备铭牌安装方式</t>
    <phoneticPr fontId="2" type="noConversion"/>
  </si>
  <si>
    <t>柜体及低压箱设备铭牌材质</t>
    <phoneticPr fontId="2" type="noConversion"/>
  </si>
  <si>
    <t>柜体及低压箱设备铭牌颜色</t>
    <phoneticPr fontId="2" type="noConversion"/>
  </si>
  <si>
    <t>接地铜排</t>
    <phoneticPr fontId="2" type="noConversion"/>
  </si>
  <si>
    <t>表面喷漆</t>
    <phoneticPr fontId="2" type="noConversion"/>
  </si>
  <si>
    <t>相序颜色</t>
    <phoneticPr fontId="2" type="noConversion"/>
  </si>
  <si>
    <t>隔室间防护等级</t>
    <phoneticPr fontId="2" type="noConversion"/>
  </si>
  <si>
    <t>低压箱防护等级</t>
    <phoneticPr fontId="2" type="noConversion"/>
  </si>
  <si>
    <t>气箱防护等级</t>
    <phoneticPr fontId="2" type="noConversion"/>
  </si>
  <si>
    <t>壳体防护等级</t>
    <phoneticPr fontId="2" type="noConversion"/>
  </si>
  <si>
    <t>柜型</t>
    <phoneticPr fontId="2" type="noConversion"/>
  </si>
  <si>
    <t>额定峰值耐受电流</t>
    <phoneticPr fontId="2" type="noConversion"/>
  </si>
  <si>
    <t>额定短时耐受电流</t>
    <phoneticPr fontId="2" type="noConversion"/>
  </si>
  <si>
    <t>主母线类型</t>
    <phoneticPr fontId="2" type="noConversion"/>
  </si>
  <si>
    <t>雷电冲击耐压</t>
    <phoneticPr fontId="2" type="noConversion"/>
  </si>
  <si>
    <t>工频耐压</t>
    <phoneticPr fontId="2" type="noConversion"/>
  </si>
  <si>
    <t>断路器储能马达电源</t>
    <phoneticPr fontId="2" type="noConversion"/>
  </si>
  <si>
    <t>加热&amp;照明回路 电压等级3</t>
    <phoneticPr fontId="2" type="noConversion"/>
  </si>
  <si>
    <t>CONTROL CIRCUIT &amp; SIGNAL CIRCUIT RATING 1</t>
    <phoneticPr fontId="2" type="noConversion"/>
  </si>
  <si>
    <t>CONTROL CIRCUIT &amp; SIGNAL CIRCUIT RATING 2</t>
    <phoneticPr fontId="2" type="noConversion"/>
  </si>
  <si>
    <t>CB SPRING MOTOR SUPPLY</t>
    <phoneticPr fontId="2" type="noConversion"/>
  </si>
  <si>
    <t>HEAT&amp;ILLUMINATION CIRCUIT RATING 3</t>
    <phoneticPr fontId="2" type="noConversion"/>
  </si>
  <si>
    <t>POWER CIRCUIT RATING 1</t>
    <phoneticPr fontId="2" type="noConversion"/>
  </si>
  <si>
    <t>CONTROL &amp; OTHER CIRCUIT RATING 1</t>
    <phoneticPr fontId="2" type="noConversion"/>
  </si>
  <si>
    <t>POWER CIRCUIT RATING 2</t>
    <phoneticPr fontId="2" type="noConversion"/>
  </si>
  <si>
    <t>CONTROL &amp; OTHER CIRCUIT RATING 2</t>
  </si>
  <si>
    <t>POWER CIRCUIT RATING 3</t>
    <phoneticPr fontId="2" type="noConversion"/>
  </si>
  <si>
    <t>CONTROL &amp; OTHER CIRCUIT RATING 3</t>
  </si>
  <si>
    <t>CURRENT CIRCUIT</t>
    <phoneticPr fontId="2" type="noConversion"/>
  </si>
  <si>
    <t>VOLTAGE CIRCUIT</t>
    <phoneticPr fontId="2" type="noConversion"/>
  </si>
  <si>
    <t>SECONDARY CIRCUIT EARTHING</t>
    <phoneticPr fontId="2" type="noConversion"/>
  </si>
  <si>
    <t>ZERO SEQUENCE CURRENT CIRCUIT</t>
    <phoneticPr fontId="2" type="noConversion"/>
  </si>
  <si>
    <t>MATERIAL</t>
    <phoneticPr fontId="2" type="noConversion"/>
  </si>
  <si>
    <t>VOLTAGE CLASSIFICATION</t>
    <phoneticPr fontId="2" type="noConversion"/>
  </si>
  <si>
    <t>TEMPERATURE</t>
    <phoneticPr fontId="2" type="noConversion"/>
  </si>
  <si>
    <t>TERMINAL</t>
    <phoneticPr fontId="2" type="noConversion"/>
  </si>
  <si>
    <t>MIMIC</t>
    <phoneticPr fontId="2" type="noConversion"/>
  </si>
  <si>
    <t>ZCT MOUNTING SITE</t>
    <phoneticPr fontId="2" type="noConversion"/>
  </si>
  <si>
    <t>INTERPANEL WIRES</t>
    <phoneticPr fontId="2" type="noConversion"/>
  </si>
  <si>
    <t>MARKING OF WIRE ENDS</t>
    <phoneticPr fontId="2" type="noConversion"/>
  </si>
  <si>
    <t>REGIONAL GENERAL REQUIREMENT</t>
    <phoneticPr fontId="2" type="noConversion"/>
  </si>
  <si>
    <t>PARTIAL DISCHARGE TEST</t>
    <phoneticPr fontId="2" type="noConversion"/>
  </si>
  <si>
    <t>FAT</t>
    <phoneticPr fontId="2" type="noConversion"/>
  </si>
  <si>
    <t>电源回路 电压等级 1</t>
  </si>
  <si>
    <t>控制及其他回路 电压等级 1</t>
  </si>
  <si>
    <t>电源回路 电压等级 2</t>
  </si>
  <si>
    <t>控制及其他回路 电压等级 2</t>
  </si>
  <si>
    <t>电源回路 电压等级 3</t>
  </si>
  <si>
    <t>控制及其他回路 电压等级 3</t>
  </si>
  <si>
    <t>电流回路</t>
    <phoneticPr fontId="2" type="noConversion"/>
  </si>
  <si>
    <t>电压回路</t>
    <phoneticPr fontId="2" type="noConversion"/>
  </si>
  <si>
    <t>二次回路接地线</t>
    <phoneticPr fontId="2" type="noConversion"/>
  </si>
  <si>
    <t>零序电流回路</t>
    <phoneticPr fontId="2" type="noConversion"/>
  </si>
  <si>
    <t>设备自带线保留原设备线色线径（例如：断路器、三工位内部接线）</t>
    <phoneticPr fontId="2" type="noConversion"/>
  </si>
  <si>
    <t>DEVICE WITH ORIGINAL WIRINGS WILL REMAIN ITS OWN (EG. TRUCK INTERNAL WIRES)</t>
  </si>
  <si>
    <t>材料</t>
    <phoneticPr fontId="2" type="noConversion"/>
  </si>
  <si>
    <t>电压等级</t>
    <phoneticPr fontId="2" type="noConversion"/>
  </si>
  <si>
    <t>温度</t>
    <phoneticPr fontId="2" type="noConversion"/>
  </si>
  <si>
    <t>端子</t>
    <phoneticPr fontId="2" type="noConversion"/>
  </si>
  <si>
    <t>号码管</t>
    <phoneticPr fontId="2" type="noConversion"/>
  </si>
  <si>
    <t>主母线电流:</t>
    <phoneticPr fontId="2" type="noConversion"/>
  </si>
  <si>
    <t>MAIN BUSBAR CURRENT</t>
    <phoneticPr fontId="2" type="noConversion"/>
  </si>
  <si>
    <t>开关站基本参数</t>
    <phoneticPr fontId="2" type="noConversion"/>
  </si>
  <si>
    <t>SWITCHBOARD BASIC DATA</t>
    <phoneticPr fontId="2" type="noConversion"/>
  </si>
  <si>
    <t>铭牌</t>
    <phoneticPr fontId="2" type="noConversion"/>
  </si>
  <si>
    <t>LABELS</t>
    <phoneticPr fontId="2" type="noConversion"/>
  </si>
  <si>
    <t>1-10-0 内燃弧等级</t>
    <phoneticPr fontId="2" type="noConversion"/>
  </si>
  <si>
    <t>PDF属性-中文</t>
    <phoneticPr fontId="2" type="noConversion"/>
  </si>
  <si>
    <t>PDF属性-英文</t>
    <phoneticPr fontId="2" type="noConversion"/>
  </si>
  <si>
    <t>辅助电源</t>
    <phoneticPr fontId="2" type="noConversion"/>
  </si>
  <si>
    <t>AUX POWER SUPPLY</t>
    <phoneticPr fontId="2" type="noConversion"/>
  </si>
  <si>
    <t>二次导线参数</t>
    <phoneticPr fontId="2" type="noConversion"/>
  </si>
  <si>
    <t>SECONDARY WIRES PARAMETERS</t>
    <phoneticPr fontId="2" type="noConversion"/>
  </si>
  <si>
    <t>其他</t>
    <phoneticPr fontId="2" type="noConversion"/>
  </si>
  <si>
    <t>OTHER</t>
    <phoneticPr fontId="2" type="noConversion"/>
  </si>
  <si>
    <t>检验</t>
    <phoneticPr fontId="2" type="noConversion"/>
  </si>
  <si>
    <t>INSPECTION</t>
    <phoneticPr fontId="2" type="noConversion"/>
  </si>
  <si>
    <t>PACKING DETAILS &amp; SHIPPING MARKS</t>
    <phoneticPr fontId="2" type="noConversion"/>
  </si>
  <si>
    <t>低压室高度</t>
    <phoneticPr fontId="2" type="noConversion"/>
  </si>
  <si>
    <t>LV HEIGHT</t>
    <phoneticPr fontId="2" type="noConversion"/>
  </si>
  <si>
    <t>区域通用要求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</si>
</sst>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BBvoice CNSG Light"/>
      <family val="2"/>
      <charset val="134"/>
    </font>
    <font>
      <sz val="10"/>
      <name val="ABBvoice CNSG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4" fillId="0" borderId="1" xfId="0" applyFont="1" applyBorder="1"/>
    <xf numFmtId="0" fontId="4" fillId="0" borderId="1" xfId="1" applyFont="1" applyBorder="1"/>
    <xf numFmtId="14" fontId="4" fillId="0" borderId="1" xfId="1" applyNumberFormat="1" applyFont="1" applyBorder="1"/>
    <xf numFmtId="16" fontId="4" fillId="0" borderId="1" xfId="1" applyNumberFormat="1" applyFont="1" applyBorder="1"/>
    <xf numFmtId="0" fontId="4" fillId="0" borderId="2" xfId="0" applyFont="1" applyBorder="1"/>
    <xf numFmtId="0" fontId="0" fillId="2" borderId="1" xfId="0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</cellXfs>
  <cellStyles count="2">
    <cellStyle name="Normal" xfId="0" builtinId="0"/>
    <cellStyle name="Normal 3" xfId="1" xr:uid="{AA677042-9220-4057-B3ED-733685D654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8"/>
  <sheetViews>
    <sheetView tabSelected="1" topLeftCell="C35" zoomScaleNormal="100" workbookViewId="0">
      <selection activeCell="E68" sqref="E68"/>
    </sheetView>
  </sheetViews>
  <sheetFormatPr defaultRowHeight="14.25" x14ac:dyDescent="0.2"/>
  <cols>
    <col min="1" max="1" width="29.25" customWidth="1"/>
    <col min="2" max="2" width="10.375" customWidth="1"/>
    <col min="3" max="3" width="45.75" customWidth="1"/>
    <col min="4" max="4" width="57" customWidth="1"/>
    <col min="5" max="5" width="78.25" customWidth="1"/>
  </cols>
  <sheetData>
    <row r="1" spans="1:5" x14ac:dyDescent="0.2">
      <c r="A1" t="s">
        <v>99</v>
      </c>
      <c r="D1" s="1" t="s">
        <v>189</v>
      </c>
      <c r="E1" s="1" t="s">
        <v>190</v>
      </c>
    </row>
    <row r="2" spans="1:5" ht="15" x14ac:dyDescent="0.25">
      <c r="A2" s="2" t="s">
        <v>0</v>
      </c>
      <c r="B2" s="2" t="str">
        <f>_xlfn.TEXTBEFORE(A2," ",,1)</f>
        <v>1-1</v>
      </c>
      <c r="C2" s="6" t="str">
        <f>_xlfn.TEXTAFTER(A2," ",,1)</f>
        <v>标准</v>
      </c>
      <c r="D2" s="7" t="s">
        <v>184</v>
      </c>
      <c r="E2" s="7" t="s">
        <v>185</v>
      </c>
    </row>
    <row r="3" spans="1:5" ht="15" x14ac:dyDescent="0.25">
      <c r="A3" s="2" t="s">
        <v>1</v>
      </c>
      <c r="B3" s="2" t="str">
        <f t="shared" ref="B3:B12" si="0">_xlfn.TEXTBEFORE(A3," ",,1)</f>
        <v>1-2-1</v>
      </c>
      <c r="C3" s="6" t="str">
        <f t="shared" ref="C3:C12" si="1">_xlfn.TEXTAFTER(A3," ",,1)</f>
        <v>系统电压</v>
      </c>
      <c r="D3" s="8" t="s">
        <v>100</v>
      </c>
      <c r="E3" s="8" t="s">
        <v>74</v>
      </c>
    </row>
    <row r="4" spans="1:5" ht="15" x14ac:dyDescent="0.25">
      <c r="A4" s="2" t="s">
        <v>2</v>
      </c>
      <c r="B4" s="2" t="str">
        <f t="shared" si="0"/>
        <v>1-2-2</v>
      </c>
      <c r="C4" s="6" t="str">
        <f t="shared" si="1"/>
        <v>频率</v>
      </c>
      <c r="D4" s="8" t="s">
        <v>104</v>
      </c>
      <c r="E4" s="8" t="s">
        <v>75</v>
      </c>
    </row>
    <row r="5" spans="1:5" ht="15" x14ac:dyDescent="0.25">
      <c r="A5" s="2" t="s">
        <v>3</v>
      </c>
      <c r="B5" s="2" t="str">
        <f t="shared" si="0"/>
        <v>1-3</v>
      </c>
      <c r="C5" s="6" t="str">
        <f t="shared" si="1"/>
        <v>额定电压</v>
      </c>
      <c r="D5" s="9" t="s">
        <v>105</v>
      </c>
      <c r="E5" s="8" t="s">
        <v>76</v>
      </c>
    </row>
    <row r="6" spans="1:5" ht="15" x14ac:dyDescent="0.25">
      <c r="A6" s="3" t="s">
        <v>4</v>
      </c>
      <c r="B6" s="2" t="str">
        <f t="shared" si="0"/>
        <v>1-4</v>
      </c>
      <c r="C6" s="6" t="str">
        <f t="shared" si="1"/>
        <v>工频耐压</v>
      </c>
      <c r="D6" s="8" t="s">
        <v>137</v>
      </c>
      <c r="E6" s="8" t="s">
        <v>77</v>
      </c>
    </row>
    <row r="7" spans="1:5" ht="15" x14ac:dyDescent="0.25">
      <c r="A7" s="3" t="s">
        <v>5</v>
      </c>
      <c r="B7" s="2" t="str">
        <f t="shared" si="0"/>
        <v>1-5</v>
      </c>
      <c r="C7" s="6" t="str">
        <f t="shared" si="1"/>
        <v>雷电冲击耐压</v>
      </c>
      <c r="D7" s="8" t="s">
        <v>136</v>
      </c>
      <c r="E7" s="8" t="s">
        <v>78</v>
      </c>
    </row>
    <row r="8" spans="1:5" ht="15" x14ac:dyDescent="0.25">
      <c r="A8" s="3" t="s">
        <v>6</v>
      </c>
      <c r="B8" s="2" t="str">
        <f t="shared" si="0"/>
        <v>1-7</v>
      </c>
      <c r="C8" s="6" t="str">
        <f t="shared" si="1"/>
        <v>主母线类型</v>
      </c>
      <c r="D8" s="8" t="s">
        <v>182</v>
      </c>
      <c r="E8" s="8" t="s">
        <v>183</v>
      </c>
    </row>
    <row r="9" spans="1:5" ht="15" x14ac:dyDescent="0.25">
      <c r="A9" s="3" t="s">
        <v>7</v>
      </c>
      <c r="B9" s="2" t="str">
        <f t="shared" si="0"/>
        <v>1-8-1</v>
      </c>
      <c r="C9" s="6" t="str">
        <f t="shared" si="1"/>
        <v>额定短时耐受电流</v>
      </c>
      <c r="D9" s="8" t="s">
        <v>135</v>
      </c>
      <c r="E9" s="8" t="s">
        <v>79</v>
      </c>
    </row>
    <row r="10" spans="1:5" ht="15" x14ac:dyDescent="0.25">
      <c r="A10" s="3" t="s">
        <v>8</v>
      </c>
      <c r="B10" s="2" t="str">
        <f t="shared" si="0"/>
        <v>1-8-2</v>
      </c>
      <c r="C10" s="6" t="str">
        <f t="shared" si="1"/>
        <v>额定短时耐受时间</v>
      </c>
      <c r="D10" s="8" t="s">
        <v>134</v>
      </c>
      <c r="E10" s="8" t="s">
        <v>80</v>
      </c>
    </row>
    <row r="11" spans="1:5" ht="15" x14ac:dyDescent="0.25">
      <c r="A11" s="3" t="s">
        <v>9</v>
      </c>
      <c r="B11" s="2" t="str">
        <f t="shared" si="0"/>
        <v>1-9</v>
      </c>
      <c r="C11" s="6" t="str">
        <f t="shared" si="1"/>
        <v>额定峰值耐受电流</v>
      </c>
      <c r="D11" s="8" t="s">
        <v>133</v>
      </c>
      <c r="E11" s="8" t="s">
        <v>81</v>
      </c>
    </row>
    <row r="12" spans="1:5" ht="15" x14ac:dyDescent="0.25">
      <c r="A12" s="3" t="s">
        <v>188</v>
      </c>
      <c r="B12" s="2" t="str">
        <f t="shared" si="0"/>
        <v>1-10-0</v>
      </c>
      <c r="C12" s="6" t="str">
        <f t="shared" si="1"/>
        <v>内燃弧等级</v>
      </c>
      <c r="D12" s="8" t="s">
        <v>108</v>
      </c>
      <c r="E12" s="8" t="s">
        <v>82</v>
      </c>
    </row>
    <row r="13" spans="1:5" ht="15" x14ac:dyDescent="0.25">
      <c r="A13" s="3" t="s">
        <v>73</v>
      </c>
      <c r="B13" s="2" t="str">
        <f t="shared" ref="B13:B44" si="2">_xlfn.TEXTBEFORE(A13," ",,1)</f>
        <v>1-10-1</v>
      </c>
      <c r="C13" s="6" t="str">
        <f t="shared" ref="C13:C44" si="3">_xlfn.TEXTAFTER(A13," ",,1)</f>
        <v>内燃弧耐受电流</v>
      </c>
      <c r="D13" s="8" t="s">
        <v>132</v>
      </c>
      <c r="E13" s="8" t="s">
        <v>83</v>
      </c>
    </row>
    <row r="14" spans="1:5" ht="15" x14ac:dyDescent="0.25">
      <c r="A14" s="3" t="s">
        <v>10</v>
      </c>
      <c r="B14" s="2" t="str">
        <f t="shared" si="2"/>
        <v>1-10-2</v>
      </c>
      <c r="C14" s="6" t="str">
        <f t="shared" si="3"/>
        <v>内燃弧耐受时间</v>
      </c>
      <c r="D14" s="8" t="s">
        <v>131</v>
      </c>
      <c r="E14" s="8" t="s">
        <v>84</v>
      </c>
    </row>
    <row r="15" spans="1:5" ht="15" x14ac:dyDescent="0.25">
      <c r="A15" s="3" t="s">
        <v>11</v>
      </c>
      <c r="B15" s="2" t="str">
        <f t="shared" si="2"/>
        <v>1-11-1</v>
      </c>
      <c r="C15" s="6" t="str">
        <f t="shared" si="3"/>
        <v>柜型</v>
      </c>
      <c r="D15" s="8" t="s">
        <v>130</v>
      </c>
      <c r="E15" s="8" t="s">
        <v>87</v>
      </c>
    </row>
    <row r="16" spans="1:5" ht="15" x14ac:dyDescent="0.25">
      <c r="A16" s="3" t="s">
        <v>12</v>
      </c>
      <c r="B16" s="2" t="str">
        <f t="shared" si="2"/>
        <v>1-11-2</v>
      </c>
      <c r="C16" s="6" t="str">
        <f t="shared" si="3"/>
        <v>柜型产品</v>
      </c>
      <c r="D16" s="8" t="s">
        <v>129</v>
      </c>
      <c r="E16" s="8" t="s">
        <v>88</v>
      </c>
    </row>
    <row r="17" spans="1:5" ht="15" x14ac:dyDescent="0.25">
      <c r="A17" s="2" t="s">
        <v>13</v>
      </c>
      <c r="B17" s="2" t="str">
        <f t="shared" si="2"/>
        <v>1-12</v>
      </c>
      <c r="C17" s="6" t="str">
        <f t="shared" si="3"/>
        <v>壳体防护等级</v>
      </c>
      <c r="D17" s="8" t="s">
        <v>128</v>
      </c>
      <c r="E17" s="8" t="s">
        <v>89</v>
      </c>
    </row>
    <row r="18" spans="1:5" ht="15" x14ac:dyDescent="0.25">
      <c r="A18" s="2" t="s">
        <v>86</v>
      </c>
      <c r="B18" s="2" t="str">
        <f t="shared" si="2"/>
        <v>1-12</v>
      </c>
      <c r="C18" s="6" t="str">
        <f t="shared" si="3"/>
        <v>气箱防护等级</v>
      </c>
      <c r="D18" s="8" t="s">
        <v>109</v>
      </c>
      <c r="E18" s="8" t="s">
        <v>90</v>
      </c>
    </row>
    <row r="19" spans="1:5" ht="15" x14ac:dyDescent="0.25">
      <c r="A19" s="2" t="s">
        <v>85</v>
      </c>
      <c r="B19" s="2" t="str">
        <f t="shared" si="2"/>
        <v>1-13</v>
      </c>
      <c r="C19" s="6" t="str">
        <f t="shared" si="3"/>
        <v>低压箱防护等级</v>
      </c>
      <c r="D19" s="8" t="s">
        <v>127</v>
      </c>
      <c r="E19" s="8" t="s">
        <v>91</v>
      </c>
    </row>
    <row r="20" spans="1:5" ht="15" x14ac:dyDescent="0.25">
      <c r="A20" s="2" t="s">
        <v>14</v>
      </c>
      <c r="B20" s="2" t="str">
        <f t="shared" si="2"/>
        <v>1-13</v>
      </c>
      <c r="C20" s="6" t="str">
        <f t="shared" si="3"/>
        <v>隔室间防护等级</v>
      </c>
      <c r="D20" s="8" t="s">
        <v>126</v>
      </c>
      <c r="E20" s="8" t="s">
        <v>92</v>
      </c>
    </row>
    <row r="21" spans="1:5" ht="15" x14ac:dyDescent="0.25">
      <c r="A21" s="3" t="s">
        <v>15</v>
      </c>
      <c r="B21" s="2" t="str">
        <f t="shared" si="2"/>
        <v>1-14</v>
      </c>
      <c r="C21" s="6" t="str">
        <f t="shared" si="3"/>
        <v>相序标识</v>
      </c>
      <c r="D21" s="8" t="s">
        <v>125</v>
      </c>
      <c r="E21" s="8" t="s">
        <v>93</v>
      </c>
    </row>
    <row r="22" spans="1:5" ht="15" x14ac:dyDescent="0.25">
      <c r="A22" s="3" t="s">
        <v>16</v>
      </c>
      <c r="B22" s="2" t="str">
        <f t="shared" si="2"/>
        <v>1-15-1</v>
      </c>
      <c r="C22" s="6" t="str">
        <f t="shared" si="3"/>
        <v xml:space="preserve">相序颜色 </v>
      </c>
      <c r="D22" s="8" t="s">
        <v>110</v>
      </c>
      <c r="E22" s="8" t="s">
        <v>94</v>
      </c>
    </row>
    <row r="23" spans="1:5" ht="15" x14ac:dyDescent="0.25">
      <c r="A23" s="3" t="s">
        <v>17</v>
      </c>
      <c r="B23" s="2" t="str">
        <f t="shared" si="2"/>
        <v>1-16</v>
      </c>
      <c r="C23" s="6" t="str">
        <f t="shared" si="3"/>
        <v>表面喷漆</v>
      </c>
      <c r="D23" s="8" t="s">
        <v>111</v>
      </c>
      <c r="E23" s="8" t="s">
        <v>95</v>
      </c>
    </row>
    <row r="24" spans="1:5" ht="15" x14ac:dyDescent="0.25">
      <c r="A24" s="3" t="s">
        <v>18</v>
      </c>
      <c r="B24" s="2" t="str">
        <f t="shared" si="2"/>
        <v>1-17</v>
      </c>
      <c r="C24" s="6" t="str">
        <f t="shared" si="3"/>
        <v>接地铜排</v>
      </c>
      <c r="D24" s="10" t="s">
        <v>186</v>
      </c>
      <c r="E24" s="10" t="s">
        <v>187</v>
      </c>
    </row>
    <row r="25" spans="1:5" ht="15" x14ac:dyDescent="0.25">
      <c r="A25" s="3" t="s">
        <v>19</v>
      </c>
      <c r="B25" s="2" t="str">
        <f t="shared" si="2"/>
        <v>1-18-1</v>
      </c>
      <c r="C25" s="6" t="str">
        <f t="shared" si="3"/>
        <v>一次电缆进线方向</v>
      </c>
      <c r="D25" s="10" t="s">
        <v>112</v>
      </c>
      <c r="E25" s="10" t="s">
        <v>96</v>
      </c>
    </row>
    <row r="26" spans="1:5" ht="15" x14ac:dyDescent="0.25">
      <c r="A26" s="2" t="s">
        <v>20</v>
      </c>
      <c r="B26" s="2" t="str">
        <f t="shared" si="2"/>
        <v>1-18-2</v>
      </c>
      <c r="C26" s="6" t="str">
        <f t="shared" si="3"/>
        <v xml:space="preserve">一次电缆进线形式 </v>
      </c>
      <c r="D26" s="10" t="s">
        <v>124</v>
      </c>
      <c r="E26" s="10" t="s">
        <v>97</v>
      </c>
    </row>
    <row r="27" spans="1:5" ht="15" x14ac:dyDescent="0.25">
      <c r="A27" s="3" t="s">
        <v>21</v>
      </c>
      <c r="B27" s="2" t="str">
        <f t="shared" si="2"/>
        <v>1-19-1</v>
      </c>
      <c r="C27" s="6" t="str">
        <f t="shared" si="3"/>
        <v xml:space="preserve">二次电缆进线方向 </v>
      </c>
      <c r="D27" s="10" t="s">
        <v>123</v>
      </c>
      <c r="E27" s="10" t="s">
        <v>98</v>
      </c>
    </row>
    <row r="28" spans="1:5" ht="15" x14ac:dyDescent="0.25">
      <c r="A28" s="3" t="s">
        <v>22</v>
      </c>
      <c r="B28" s="2" t="str">
        <f t="shared" si="2"/>
        <v>1-19-2</v>
      </c>
      <c r="C28" s="6" t="str">
        <f t="shared" si="3"/>
        <v>二次电缆进线形式</v>
      </c>
      <c r="D28" s="10" t="s">
        <v>114</v>
      </c>
      <c r="E28" s="10" t="s">
        <v>113</v>
      </c>
    </row>
    <row r="29" spans="1:5" ht="15" x14ac:dyDescent="0.25">
      <c r="A29" s="3" t="s">
        <v>23</v>
      </c>
      <c r="B29" s="2" t="str">
        <f t="shared" si="2"/>
        <v>2-1</v>
      </c>
      <c r="C29" s="6" t="str">
        <f t="shared" si="3"/>
        <v>柜体及低压箱设备铭牌语言</v>
      </c>
      <c r="D29" s="10" t="s">
        <v>122</v>
      </c>
      <c r="E29" s="10" t="s">
        <v>115</v>
      </c>
    </row>
    <row r="30" spans="1:5" ht="15" x14ac:dyDescent="0.25">
      <c r="A30" s="3" t="s">
        <v>24</v>
      </c>
      <c r="B30" s="2" t="str">
        <f t="shared" si="2"/>
        <v>2-2</v>
      </c>
      <c r="C30" s="6" t="str">
        <f t="shared" si="3"/>
        <v>柜体及低压箱设备铭牌颜色</v>
      </c>
      <c r="D30" s="10" t="s">
        <v>121</v>
      </c>
      <c r="E30" s="10" t="s">
        <v>116</v>
      </c>
    </row>
    <row r="31" spans="1:5" ht="15" x14ac:dyDescent="0.25">
      <c r="A31" s="3" t="s">
        <v>25</v>
      </c>
      <c r="B31" s="2" t="str">
        <f t="shared" si="2"/>
        <v>2-3</v>
      </c>
      <c r="C31" s="6" t="str">
        <f t="shared" si="3"/>
        <v xml:space="preserve">铭牌材质 </v>
      </c>
      <c r="D31" s="10" t="s">
        <v>120</v>
      </c>
      <c r="E31" s="10" t="s">
        <v>117</v>
      </c>
    </row>
    <row r="32" spans="1:5" ht="15" x14ac:dyDescent="0.25">
      <c r="A32" s="3" t="s">
        <v>26</v>
      </c>
      <c r="B32" s="2" t="str">
        <f t="shared" si="2"/>
        <v>2-4</v>
      </c>
      <c r="C32" s="6" t="str">
        <f t="shared" si="3"/>
        <v>柜外铭牌安装方式</v>
      </c>
      <c r="D32" s="11" t="s">
        <v>191</v>
      </c>
      <c r="E32" s="11" t="s">
        <v>192</v>
      </c>
    </row>
    <row r="33" spans="1:5" ht="15" x14ac:dyDescent="0.25">
      <c r="A33" s="3" t="s">
        <v>27</v>
      </c>
      <c r="B33" s="2" t="str">
        <f t="shared" si="2"/>
        <v>2-6</v>
      </c>
      <c r="C33" s="6" t="str">
        <f t="shared" si="3"/>
        <v xml:space="preserve">铭牌柜内安装方式 </v>
      </c>
      <c r="D33" s="11" t="s">
        <v>118</v>
      </c>
      <c r="E33" s="11" t="s">
        <v>140</v>
      </c>
    </row>
    <row r="34" spans="1:5" ht="15" x14ac:dyDescent="0.25">
      <c r="A34" s="2" t="s">
        <v>28</v>
      </c>
      <c r="B34" s="2" t="str">
        <f t="shared" si="2"/>
        <v>2-7</v>
      </c>
      <c r="C34" s="6" t="str">
        <f t="shared" si="3"/>
        <v xml:space="preserve">柜体标准标签语言 </v>
      </c>
      <c r="D34" s="11" t="s">
        <v>119</v>
      </c>
      <c r="E34" s="11" t="s">
        <v>141</v>
      </c>
    </row>
    <row r="35" spans="1:5" ht="15" x14ac:dyDescent="0.25">
      <c r="A35" s="3" t="s">
        <v>29</v>
      </c>
      <c r="B35" s="2" t="str">
        <f t="shared" si="2"/>
        <v>3-1</v>
      </c>
      <c r="C35" s="6" t="str">
        <f t="shared" si="3"/>
        <v xml:space="preserve">控制与信号回路 电压等级 1 </v>
      </c>
      <c r="D35" s="11" t="s">
        <v>138</v>
      </c>
      <c r="E35" s="11" t="s">
        <v>142</v>
      </c>
    </row>
    <row r="36" spans="1:5" ht="15" x14ac:dyDescent="0.25">
      <c r="A36" s="3" t="s">
        <v>30</v>
      </c>
      <c r="B36" s="2" t="str">
        <f t="shared" si="2"/>
        <v>3-2</v>
      </c>
      <c r="C36" s="6" t="str">
        <f t="shared" si="3"/>
        <v xml:space="preserve">控制与信号回路 电压等级 2 </v>
      </c>
      <c r="D36" s="11" t="s">
        <v>139</v>
      </c>
      <c r="E36" s="11" t="s">
        <v>143</v>
      </c>
    </row>
    <row r="37" spans="1:5" ht="15" x14ac:dyDescent="0.25">
      <c r="A37" s="2" t="s">
        <v>31</v>
      </c>
      <c r="B37" s="2" t="str">
        <f t="shared" si="2"/>
        <v>3-3</v>
      </c>
      <c r="C37" s="6" t="str">
        <f t="shared" si="3"/>
        <v xml:space="preserve">断路器储能回路电源 </v>
      </c>
      <c r="D37" s="12" t="s">
        <v>193</v>
      </c>
      <c r="E37" s="12" t="s">
        <v>194</v>
      </c>
    </row>
    <row r="38" spans="1:5" ht="15" x14ac:dyDescent="0.25">
      <c r="A38" s="3" t="s">
        <v>32</v>
      </c>
      <c r="B38" s="2" t="str">
        <f t="shared" si="2"/>
        <v>3-4</v>
      </c>
      <c r="C38" s="6" t="str">
        <f t="shared" si="3"/>
        <v>加热&amp;照明回路 电压等级3</v>
      </c>
      <c r="D38" s="12" t="s">
        <v>165</v>
      </c>
      <c r="E38" s="12" t="s">
        <v>144</v>
      </c>
    </row>
    <row r="39" spans="1:5" ht="15" x14ac:dyDescent="0.25">
      <c r="A39" s="2" t="s">
        <v>33</v>
      </c>
      <c r="B39" s="2" t="str">
        <f t="shared" si="2"/>
        <v>4-1-1</v>
      </c>
      <c r="C39" s="6" t="str">
        <f t="shared" si="3"/>
        <v xml:space="preserve">电源回路 电压等级1-线径 </v>
      </c>
      <c r="D39" s="12" t="s">
        <v>166</v>
      </c>
      <c r="E39" s="12" t="s">
        <v>145</v>
      </c>
    </row>
    <row r="40" spans="1:5" ht="15" x14ac:dyDescent="0.25">
      <c r="A40" s="2" t="s">
        <v>34</v>
      </c>
      <c r="B40" s="2" t="str">
        <f t="shared" si="2"/>
        <v>4-1-2</v>
      </c>
      <c r="C40" s="6" t="str">
        <f t="shared" si="3"/>
        <v>电源回路 电压等级1-线色Ve+/ L</v>
      </c>
      <c r="D40" s="12" t="s">
        <v>167</v>
      </c>
      <c r="E40" s="12" t="s">
        <v>146</v>
      </c>
    </row>
    <row r="41" spans="1:5" ht="15" x14ac:dyDescent="0.25">
      <c r="A41" s="2" t="s">
        <v>35</v>
      </c>
      <c r="B41" s="2" t="str">
        <f t="shared" si="2"/>
        <v>4-1-3</v>
      </c>
      <c r="C41" s="6" t="str">
        <f t="shared" si="3"/>
        <v>电源回路 电压等级1-线色Ve-/ N</v>
      </c>
      <c r="D41" s="12" t="s">
        <v>168</v>
      </c>
      <c r="E41" s="12" t="s">
        <v>147</v>
      </c>
    </row>
    <row r="42" spans="1:5" ht="15" x14ac:dyDescent="0.25">
      <c r="A42" s="2" t="s">
        <v>36</v>
      </c>
      <c r="B42" s="2" t="str">
        <f t="shared" si="2"/>
        <v>4-2-1</v>
      </c>
      <c r="C42" s="6" t="str">
        <f t="shared" si="3"/>
        <v xml:space="preserve">控制与其他回路 电压等级1-线径 </v>
      </c>
      <c r="D42" s="12" t="s">
        <v>169</v>
      </c>
      <c r="E42" s="12" t="s">
        <v>148</v>
      </c>
    </row>
    <row r="43" spans="1:5" ht="15" x14ac:dyDescent="0.25">
      <c r="A43" s="2" t="s">
        <v>37</v>
      </c>
      <c r="B43" s="2" t="str">
        <f t="shared" si="2"/>
        <v>4-2-2</v>
      </c>
      <c r="C43" s="6" t="str">
        <f t="shared" si="3"/>
        <v>控制与其他回路 电压等级1-线色Ve+/ L</v>
      </c>
      <c r="D43" s="12" t="s">
        <v>170</v>
      </c>
      <c r="E43" s="12" t="s">
        <v>149</v>
      </c>
    </row>
    <row r="44" spans="1:5" ht="15" x14ac:dyDescent="0.25">
      <c r="A44" s="2" t="s">
        <v>38</v>
      </c>
      <c r="B44" s="2" t="str">
        <f t="shared" si="2"/>
        <v>4-2-3</v>
      </c>
      <c r="C44" s="6" t="str">
        <f t="shared" si="3"/>
        <v>控制与其他回路 电压等级1-线色Ve-/ N</v>
      </c>
      <c r="D44" s="12" t="s">
        <v>171</v>
      </c>
      <c r="E44" s="12" t="s">
        <v>150</v>
      </c>
    </row>
    <row r="45" spans="1:5" ht="15" x14ac:dyDescent="0.25">
      <c r="A45" s="4" t="s">
        <v>39</v>
      </c>
      <c r="B45" s="2" t="str">
        <f t="shared" ref="B45:B68" si="4">_xlfn.TEXTBEFORE(A45," ",,1)</f>
        <v>4-3-1</v>
      </c>
      <c r="C45" s="6" t="str">
        <f t="shared" ref="C45:C68" si="5">_xlfn.TEXTAFTER(A45," ",,1)</f>
        <v xml:space="preserve">电源回路 电压等级2-线径 </v>
      </c>
      <c r="D45" s="12" t="s">
        <v>172</v>
      </c>
      <c r="E45" s="12" t="s">
        <v>151</v>
      </c>
    </row>
    <row r="46" spans="1:5" ht="15" x14ac:dyDescent="0.25">
      <c r="A46" s="4" t="s">
        <v>40</v>
      </c>
      <c r="B46" s="2" t="str">
        <f t="shared" si="4"/>
        <v>4-3-2</v>
      </c>
      <c r="C46" s="6" t="str">
        <f t="shared" si="5"/>
        <v>电源回路 电压等级2-线色Ve+/ L</v>
      </c>
      <c r="D46" s="12" t="s">
        <v>173</v>
      </c>
      <c r="E46" s="12" t="s">
        <v>152</v>
      </c>
    </row>
    <row r="47" spans="1:5" ht="15" x14ac:dyDescent="0.25">
      <c r="A47" s="4" t="s">
        <v>41</v>
      </c>
      <c r="B47" s="2" t="str">
        <f t="shared" si="4"/>
        <v>4-3-3</v>
      </c>
      <c r="C47" s="6" t="str">
        <f t="shared" si="5"/>
        <v>电源回路 电压等级2-线色Ve-/ N</v>
      </c>
      <c r="D47" s="12" t="s">
        <v>174</v>
      </c>
      <c r="E47" s="12" t="s">
        <v>153</v>
      </c>
    </row>
    <row r="48" spans="1:5" ht="15" x14ac:dyDescent="0.25">
      <c r="A48" s="2" t="s">
        <v>42</v>
      </c>
      <c r="B48" s="2" t="str">
        <f t="shared" si="4"/>
        <v>4-4-1</v>
      </c>
      <c r="C48" s="6" t="str">
        <f t="shared" si="5"/>
        <v xml:space="preserve">控制与其他回路 电压等级2-线径 </v>
      </c>
      <c r="D48" s="12" t="s">
        <v>175</v>
      </c>
      <c r="E48" s="12" t="s">
        <v>176</v>
      </c>
    </row>
    <row r="49" spans="1:5" ht="15" x14ac:dyDescent="0.25">
      <c r="A49" s="4" t="s">
        <v>43</v>
      </c>
      <c r="B49" s="2" t="str">
        <f t="shared" si="4"/>
        <v>4-4-2</v>
      </c>
      <c r="C49" s="6" t="str">
        <f t="shared" si="5"/>
        <v>控制与其他回路 电压等级2-线色Ve+/ L</v>
      </c>
      <c r="D49" s="12" t="s">
        <v>177</v>
      </c>
      <c r="E49" s="12" t="s">
        <v>154</v>
      </c>
    </row>
    <row r="50" spans="1:5" ht="15" x14ac:dyDescent="0.25">
      <c r="A50" s="4" t="s">
        <v>44</v>
      </c>
      <c r="B50" s="2" t="str">
        <f t="shared" si="4"/>
        <v>4-4-3</v>
      </c>
      <c r="C50" s="6" t="str">
        <f t="shared" si="5"/>
        <v>控制与其他回路 电压等级2-线色Ve-/ N</v>
      </c>
      <c r="D50" s="12" t="s">
        <v>178</v>
      </c>
      <c r="E50" s="12" t="s">
        <v>155</v>
      </c>
    </row>
    <row r="51" spans="1:5" ht="15" x14ac:dyDescent="0.25">
      <c r="A51" s="4" t="s">
        <v>45</v>
      </c>
      <c r="B51" s="2" t="str">
        <f t="shared" si="4"/>
        <v>4-5-1</v>
      </c>
      <c r="C51" s="6" t="str">
        <f t="shared" si="5"/>
        <v xml:space="preserve">电源回路 电压等级3-线径 </v>
      </c>
      <c r="D51" s="12" t="s">
        <v>179</v>
      </c>
      <c r="E51" s="12" t="s">
        <v>156</v>
      </c>
    </row>
    <row r="52" spans="1:5" ht="15" x14ac:dyDescent="0.25">
      <c r="A52" s="4" t="s">
        <v>46</v>
      </c>
      <c r="B52" s="2" t="str">
        <f t="shared" si="4"/>
        <v>4-5-2</v>
      </c>
      <c r="C52" s="6" t="str">
        <f t="shared" si="5"/>
        <v>电源回路 电压等级3-线色Ve+/ L</v>
      </c>
      <c r="D52" s="13" t="s">
        <v>195</v>
      </c>
      <c r="E52" s="13" t="s">
        <v>196</v>
      </c>
    </row>
    <row r="53" spans="1:5" ht="15" x14ac:dyDescent="0.25">
      <c r="A53" s="4" t="s">
        <v>47</v>
      </c>
      <c r="B53" s="2" t="str">
        <f t="shared" si="4"/>
        <v>4-5-3</v>
      </c>
      <c r="C53" s="6" t="str">
        <f t="shared" si="5"/>
        <v>电源回路 电压等级3-线色Ve-/ N</v>
      </c>
      <c r="D53" s="13" t="s">
        <v>200</v>
      </c>
      <c r="E53" s="13" t="s">
        <v>201</v>
      </c>
    </row>
    <row r="54" spans="1:5" ht="15" x14ac:dyDescent="0.25">
      <c r="A54" s="4" t="s">
        <v>48</v>
      </c>
      <c r="B54" s="2" t="str">
        <f t="shared" si="4"/>
        <v>4-6-1</v>
      </c>
      <c r="C54" s="6" t="str">
        <f t="shared" si="5"/>
        <v xml:space="preserve">控制与其他回路 电压等级3-线径 </v>
      </c>
      <c r="D54" s="13" t="s">
        <v>180</v>
      </c>
      <c r="E54" s="13" t="s">
        <v>157</v>
      </c>
    </row>
    <row r="55" spans="1:5" ht="15" x14ac:dyDescent="0.25">
      <c r="A55" s="4" t="s">
        <v>49</v>
      </c>
      <c r="B55" s="2" t="str">
        <f t="shared" si="4"/>
        <v>4-6-2</v>
      </c>
      <c r="C55" s="6" t="str">
        <f t="shared" si="5"/>
        <v>控制与其他回路 电压等级3-线色Ve+/ L</v>
      </c>
      <c r="D55" s="13" t="s">
        <v>101</v>
      </c>
      <c r="E55" s="13" t="s">
        <v>158</v>
      </c>
    </row>
    <row r="56" spans="1:5" ht="15" x14ac:dyDescent="0.25">
      <c r="A56" s="4" t="s">
        <v>50</v>
      </c>
      <c r="B56" s="2" t="str">
        <f t="shared" si="4"/>
        <v>4-6-3</v>
      </c>
      <c r="C56" s="6" t="str">
        <f t="shared" si="5"/>
        <v>控制与其他回路 电压等级3-线色Ve-/ N</v>
      </c>
      <c r="D56" s="13" t="s">
        <v>106</v>
      </c>
      <c r="E56" s="13" t="s">
        <v>159</v>
      </c>
    </row>
    <row r="57" spans="1:5" ht="15" x14ac:dyDescent="0.25">
      <c r="A57" s="4" t="s">
        <v>51</v>
      </c>
      <c r="B57" s="2" t="str">
        <f t="shared" si="4"/>
        <v>4-7-1</v>
      </c>
      <c r="C57" s="6" t="str">
        <f t="shared" si="5"/>
        <v>电流回路线径</v>
      </c>
      <c r="D57" s="13" t="s">
        <v>107</v>
      </c>
      <c r="E57" s="13" t="s">
        <v>160</v>
      </c>
    </row>
    <row r="58" spans="1:5" ht="15" x14ac:dyDescent="0.25">
      <c r="A58" s="4" t="s">
        <v>52</v>
      </c>
      <c r="B58" s="2" t="str">
        <f t="shared" si="4"/>
        <v>4-7-2</v>
      </c>
      <c r="C58" s="6" t="str">
        <f t="shared" si="5"/>
        <v>电流回路线色</v>
      </c>
      <c r="D58" s="13" t="s">
        <v>181</v>
      </c>
      <c r="E58" s="13" t="s">
        <v>161</v>
      </c>
    </row>
    <row r="59" spans="1:5" ht="15" x14ac:dyDescent="0.25">
      <c r="A59" s="4" t="s">
        <v>53</v>
      </c>
      <c r="B59" s="2" t="str">
        <f t="shared" si="4"/>
        <v>4-8-1</v>
      </c>
      <c r="C59" s="6" t="str">
        <f t="shared" si="5"/>
        <v>电压回路线径</v>
      </c>
      <c r="D59" s="13" t="s">
        <v>202</v>
      </c>
      <c r="E59" s="13" t="s">
        <v>162</v>
      </c>
    </row>
    <row r="60" spans="1:5" ht="15" x14ac:dyDescent="0.25">
      <c r="A60" s="4" t="s">
        <v>54</v>
      </c>
      <c r="B60" s="2" t="str">
        <f t="shared" si="4"/>
        <v>4-8-2</v>
      </c>
      <c r="C60" s="6" t="str">
        <f t="shared" si="5"/>
        <v>电压回路线色</v>
      </c>
      <c r="D60" s="14" t="s">
        <v>197</v>
      </c>
      <c r="E60" s="14" t="s">
        <v>198</v>
      </c>
    </row>
    <row r="61" spans="1:5" ht="15" x14ac:dyDescent="0.25">
      <c r="A61" s="4" t="s">
        <v>55</v>
      </c>
      <c r="B61" s="2" t="str">
        <f t="shared" si="4"/>
        <v>4-9-1</v>
      </c>
      <c r="C61" s="6" t="str">
        <f t="shared" si="5"/>
        <v>二次回路接地线线径</v>
      </c>
      <c r="D61" s="14" t="s">
        <v>102</v>
      </c>
      <c r="E61" s="14" t="s">
        <v>163</v>
      </c>
    </row>
    <row r="62" spans="1:5" ht="15" x14ac:dyDescent="0.25">
      <c r="A62" s="4" t="s">
        <v>56</v>
      </c>
      <c r="B62" s="2" t="str">
        <f t="shared" si="4"/>
        <v>4-9-2</v>
      </c>
      <c r="C62" s="6" t="str">
        <f t="shared" si="5"/>
        <v>二次回路接地线线色</v>
      </c>
      <c r="D62" s="14" t="s">
        <v>164</v>
      </c>
      <c r="E62" s="14" t="s">
        <v>164</v>
      </c>
    </row>
    <row r="63" spans="1:5" ht="15" x14ac:dyDescent="0.25">
      <c r="A63" s="4" t="s">
        <v>57</v>
      </c>
      <c r="B63" s="2" t="str">
        <f t="shared" si="4"/>
        <v>4-10-1</v>
      </c>
      <c r="C63" s="6" t="str">
        <f t="shared" si="5"/>
        <v>零序电流回路线径</v>
      </c>
      <c r="D63" s="15" t="s">
        <v>103</v>
      </c>
      <c r="E63" s="15" t="s">
        <v>199</v>
      </c>
    </row>
    <row r="64" spans="1:5" ht="15" x14ac:dyDescent="0.25">
      <c r="A64" s="4" t="s">
        <v>58</v>
      </c>
      <c r="B64" s="2" t="str">
        <f t="shared" si="4"/>
        <v>4-10-2</v>
      </c>
      <c r="C64" s="6" t="str">
        <f t="shared" si="5"/>
        <v>零序电流回路线色</v>
      </c>
    </row>
    <row r="65" spans="1:3" ht="15" x14ac:dyDescent="0.25">
      <c r="A65" s="5" t="s">
        <v>59</v>
      </c>
      <c r="B65" s="2" t="str">
        <f t="shared" si="4"/>
        <v>4-11</v>
      </c>
      <c r="C65" s="6" t="str">
        <f t="shared" si="5"/>
        <v>二次导线材料</v>
      </c>
    </row>
    <row r="66" spans="1:3" ht="15" x14ac:dyDescent="0.25">
      <c r="A66" s="4" t="s">
        <v>60</v>
      </c>
      <c r="B66" s="2" t="str">
        <f t="shared" si="4"/>
        <v>4-12</v>
      </c>
      <c r="C66" s="6" t="str">
        <f t="shared" si="5"/>
        <v>二次导线电压等级</v>
      </c>
    </row>
    <row r="67" spans="1:3" ht="15" x14ac:dyDescent="0.25">
      <c r="A67" s="4" t="s">
        <v>61</v>
      </c>
      <c r="B67" s="2" t="str">
        <f t="shared" si="4"/>
        <v>4-13</v>
      </c>
      <c r="C67" s="6" t="str">
        <f t="shared" si="5"/>
        <v>二次导线温度</v>
      </c>
    </row>
    <row r="68" spans="1:3" ht="15" x14ac:dyDescent="0.25">
      <c r="A68" s="4" t="s">
        <v>62</v>
      </c>
      <c r="B68" s="2" t="str">
        <f t="shared" si="4"/>
        <v>5-2-1</v>
      </c>
      <c r="C68" s="6" t="str">
        <f t="shared" si="5"/>
        <v>端子品牌</v>
      </c>
    </row>
    <row r="69" spans="1:3" ht="15" x14ac:dyDescent="0.25">
      <c r="A69" s="2" t="s">
        <v>63</v>
      </c>
      <c r="B69" s="2" t="str">
        <f t="shared" ref="B69:B78" si="6">_xlfn.TEXTBEFORE(A69," ",,1)</f>
        <v>5-3</v>
      </c>
      <c r="C69" s="6" t="str">
        <f t="shared" ref="C69:C78" si="7">_xlfn.TEXTAFTER(A69," ",,1)</f>
        <v>模拟纸</v>
      </c>
    </row>
    <row r="70" spans="1:3" ht="15" x14ac:dyDescent="0.25">
      <c r="A70" s="4" t="s">
        <v>64</v>
      </c>
      <c r="B70" s="2" t="str">
        <f t="shared" si="6"/>
        <v>5-4-1</v>
      </c>
      <c r="C70" s="6" t="str">
        <f t="shared" si="7"/>
        <v xml:space="preserve">零序CT 安装位置 </v>
      </c>
    </row>
    <row r="71" spans="1:3" ht="15" x14ac:dyDescent="0.25">
      <c r="A71" s="4" t="s">
        <v>65</v>
      </c>
      <c r="B71" s="2" t="str">
        <f t="shared" si="6"/>
        <v>5-4-2</v>
      </c>
      <c r="C71" s="6" t="str">
        <f t="shared" si="7"/>
        <v xml:space="preserve">零序CT 安装位置-特殊柜子 </v>
      </c>
    </row>
    <row r="72" spans="1:3" ht="15" x14ac:dyDescent="0.25">
      <c r="A72" s="4" t="s">
        <v>66</v>
      </c>
      <c r="B72" s="2" t="str">
        <f t="shared" si="6"/>
        <v>5-5</v>
      </c>
      <c r="C72" s="6" t="str">
        <f t="shared" si="7"/>
        <v xml:space="preserve">柜间线 </v>
      </c>
    </row>
    <row r="73" spans="1:3" ht="15" x14ac:dyDescent="0.25">
      <c r="A73" s="4" t="s">
        <v>67</v>
      </c>
      <c r="B73" s="2" t="str">
        <f t="shared" si="6"/>
        <v>5-6-1</v>
      </c>
      <c r="C73" s="6" t="str">
        <f t="shared" si="7"/>
        <v xml:space="preserve">号码管颜色 </v>
      </c>
    </row>
    <row r="74" spans="1:3" ht="15" x14ac:dyDescent="0.25">
      <c r="A74" s="4" t="s">
        <v>68</v>
      </c>
      <c r="B74" s="2" t="str">
        <f t="shared" si="6"/>
        <v>5-6-2</v>
      </c>
      <c r="C74" s="6" t="str">
        <f t="shared" si="7"/>
        <v>线号类型</v>
      </c>
    </row>
    <row r="75" spans="1:3" ht="15" x14ac:dyDescent="0.25">
      <c r="A75" s="4" t="s">
        <v>69</v>
      </c>
      <c r="B75" s="2" t="str">
        <f t="shared" si="6"/>
        <v>5-7</v>
      </c>
      <c r="C75" s="6" t="str">
        <f t="shared" si="7"/>
        <v>区域通用要求</v>
      </c>
    </row>
    <row r="76" spans="1:3" ht="15" x14ac:dyDescent="0.25">
      <c r="A76" s="2" t="s">
        <v>70</v>
      </c>
      <c r="B76" s="2" t="str">
        <f t="shared" si="6"/>
        <v>6-1-1</v>
      </c>
      <c r="C76" s="6" t="str">
        <f t="shared" si="7"/>
        <v>局放试验</v>
      </c>
    </row>
    <row r="77" spans="1:3" ht="15" x14ac:dyDescent="0.25">
      <c r="A77" s="4" t="s">
        <v>71</v>
      </c>
      <c r="B77" s="2" t="str">
        <f t="shared" si="6"/>
        <v>6-2</v>
      </c>
      <c r="C77" s="6" t="str">
        <f t="shared" si="7"/>
        <v>FAT要求</v>
      </c>
    </row>
    <row r="78" spans="1:3" ht="15" x14ac:dyDescent="0.25">
      <c r="A78" s="4" t="s">
        <v>72</v>
      </c>
      <c r="B78" s="2" t="str">
        <f t="shared" si="6"/>
        <v>7-1</v>
      </c>
      <c r="C78" s="6" t="str">
        <f t="shared" si="7"/>
        <v>包装和发运</v>
      </c>
    </row>
  </sheetData>
  <phoneticPr fontId="2" type="noConversion"/>
  <printOptions horizontalCentered="1" verticalCentered="1"/>
  <pageMargins left="0" right="0" top="0" bottom="0" header="0" footer="0"/>
  <pageSetup paperSize="9" scale="51" orientation="portrait" verticalDpi="0" r:id="rId1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cp:lastPrinted>2026-02-06T06:32:21Z</cp:lastPrinted>
  <dcterms:created xsi:type="dcterms:W3CDTF">2015-06-05T18:17:20Z</dcterms:created>
  <dcterms:modified xsi:type="dcterms:W3CDTF">2026-02-11T01:07:12Z</dcterms:modified>
</cp:coreProperties>
</file>